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2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baseStat" sheetId="14" r:id="rId7"/>
    <sheet name="enum" sheetId="10" r:id="rId8"/>
    <sheet name="output" sheetId="6" r:id="rId9"/>
    <sheet name="temp" sheetId="11" r:id="rId10"/>
    <sheet name="memo" sheetId="13" r:id="rId11"/>
  </sheets>
  <functionGroups builtInGroupCount="17"/>
  <calcPr calcId="144525"/>
</workbook>
</file>

<file path=xl/calcChain.xml><?xml version="1.0" encoding="utf-8"?>
<calcChain xmlns="http://schemas.openxmlformats.org/spreadsheetml/2006/main">
  <c r="E17" i="19" l="1"/>
  <c r="D17" i="19"/>
  <c r="E16" i="19"/>
  <c r="D16" i="19"/>
  <c r="E15" i="19"/>
  <c r="D15" i="19"/>
  <c r="E14" i="19"/>
  <c r="D14" i="19"/>
  <c r="E13" i="19"/>
  <c r="D1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sharedStrings.xml><?xml version="1.0" encoding="utf-8"?>
<sst xmlns="http://schemas.openxmlformats.org/spreadsheetml/2006/main" count="2216" uniqueCount="781">
  <si>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</si>
  <si>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</si>
  <si>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</si>
  <si>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</si>
  <si>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</si>
  <si>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</si>
  <si>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</si>
  <si>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</si>
  <si>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</si>
  <si>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</si>
  <si>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</si>
  <si>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</si>
  <si>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</si>
  <si>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</si>
  <si>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</si>
  <si>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</si>
  <si>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</si>
  <si>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</si>
  <si>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</si>
  <si>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</si>
  <si>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</si>
  <si>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</si>
  <si>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</si>
  <si>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</si>
  <si>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</si>
  <si>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</si>
  <si>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</si>
  <si>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</si>
  <si>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</si>
  <si>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</si>
  <si>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</si>
  <si>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</si>
  <si>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</si>
  <si>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</si>
  <si>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</si>
  <si>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</si>
  <si>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</si>
  <si>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</si>
  <si>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</si>
  <si>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</si>
  <si>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</si>
  <si>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</si>
  <si>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</si>
  <si>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</si>
  <si>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</si>
  <si>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</si>
  <si>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</si>
  <si>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</si>
  <si>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</si>
  <si>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</si>
  <si>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</si>
  <si>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</si>
  <si>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</si>
  <si>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</si>
  <si>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</si>
  <si>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</si>
  <si>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</si>
  <si>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</si>
  <si>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</si>
  <si>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</si>
  <si>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</si>
  <si>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</si>
  <si>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</si>
  <si>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</si>
  <si>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</si>
  <si>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</si>
  <si>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</si>
  <si>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</si>
  <si>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</si>
  <si>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</si>
  <si>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</si>
  <si>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</si>
  <si>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</si>
  <si>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</si>
  <si>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</si>
  <si>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</si>
  <si>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</si>
  <si>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</si>
  <si>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</si>
  <si>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</si>
  <si>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</si>
  <si>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</si>
  <si>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</si>
  <si>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</si>
  <si>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</si>
  <si>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</si>
  <si>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</si>
  <si>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</si>
  <si>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</si>
  <si>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</si>
  <si>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</si>
  <si>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</si>
  <si>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</si>
  <si>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</si>
  <si>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</si>
  <si>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</si>
  <si>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</si>
  <si>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</si>
  <si>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</si>
  <si>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</si>
  <si>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</si>
  <si>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</si>
  <si>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</si>
  <si>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</si>
  <si>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</si>
  <si>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</si>
  <si>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</si>
  <si>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</si>
  <si>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</si>
  <si>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</si>
  <si>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</si>
  <si>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</si>
  <si>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</si>
  <si>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</si>
  <si>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</si>
  <si>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</si>
  <si>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</si>
  <si>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</si>
  <si>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</si>
  <si>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</si>
  <si>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</si>
  <si>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</si>
  <si>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</si>
  <si>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</si>
  <si>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</si>
  <si>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</si>
  <si>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</si>
  <si>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</si>
  <si>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</si>
  <si>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</si>
  <si>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</si>
  <si>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</si>
  <si>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</si>
  <si>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</si>
  <si>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</si>
  <si>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</si>
  <si>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</si>
  <si>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</si>
  <si>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</si>
  <si>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</si>
  <si>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</si>
  <si>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</si>
  <si>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</si>
  <si>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</si>
  <si>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</si>
  <si>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</si>
  <si>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</si>
  <si>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</si>
  <si>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</si>
  <si>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</si>
  <si>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</si>
  <si>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</si>
  <si>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</si>
  <si>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</si>
  <si>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</si>
  <si>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</si>
  <si>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</si>
  <si>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</si>
  <si>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</si>
  <si>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</si>
  <si>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</si>
  <si>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</si>
  <si>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</si>
  <si>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</si>
  <si>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</si>
  <si>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</si>
  <si>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</si>
  <si>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</si>
  <si>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</si>
  <si>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</si>
  <si>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</si>
  <si>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</si>
  <si>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</si>
  <si>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</si>
  <si>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</si>
  <si>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</si>
  <si>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</si>
  <si>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</si>
  <si>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</si>
  <si>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</si>
  <si>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</si>
  <si>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</si>
  <si>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</si>
  <si>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</si>
  <si>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</si>
  <si>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</si>
  <si>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</si>
  <si>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</si>
  <si>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</si>
  <si>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</si>
  <si>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</si>
  <si>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</si>
  <si>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</si>
  <si>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</si>
  <si>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</si>
  <si>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</si>
  <si>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</si>
  <si>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</si>
  <si>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</si>
  <si>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</si>
  <si>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</si>
  <si>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</si>
  <si>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</si>
  <si>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</si>
  <si>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</si>
  <si>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</si>
  <si>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</si>
  <si>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</si>
  <si>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</si>
  <si>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</si>
  <si>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</si>
  <si>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</si>
  <si>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</si>
  <si>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</si>
  <si>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</si>
  <si>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</si>
  <si>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</si>
  <si>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</si>
  <si>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</si>
  <si>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</si>
  <si>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</si>
  <si>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</si>
  <si>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</si>
  <si>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</si>
  <si>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</si>
  <si>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</si>
  <si>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</si>
  <si>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</si>
  <si>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</si>
  <si>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</si>
  <si>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</si>
  <si>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</si>
  <si>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</si>
  <si>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</si>
  <si>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</si>
  <si>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</si>
  <si>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</si>
  <si>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</si>
  <si>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</si>
  <si>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</si>
  <si>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</si>
  <si>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</si>
  <si>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</si>
  <si>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</si>
  <si>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</si>
  <si>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</si>
  <si>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</si>
  <si>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</si>
  <si>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</si>
  <si>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</si>
  <si>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</si>
  <si>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</si>
  <si>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</si>
  <si>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</si>
  <si>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</si>
  <si>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</si>
  <si>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</si>
  <si>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</si>
  <si>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</si>
  <si>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</si>
  <si>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</si>
  <si>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</si>
  <si>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</si>
  <si>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</si>
  <si>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</si>
  <si>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</si>
  <si>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</si>
  <si>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</si>
  <si>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</si>
  <si>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</si>
  <si>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</si>
  <si>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</si>
  <si>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</si>
  <si>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</si>
  <si>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</si>
  <si>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</si>
  <si>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</si>
  <si>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</si>
  <si>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</si>
  <si>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</si>
  <si>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</si>
  <si>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</si>
  <si>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</si>
  <si>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</si>
  <si>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</si>
  <si>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</si>
  <si>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</si>
  <si>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</si>
  <si>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</si>
  <si>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</si>
  <si>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</si>
  <si>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</si>
  <si>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</si>
  <si>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</si>
  <si>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</si>
  <si>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</si>
  <si>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</si>
  <si>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</si>
  <si>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</si>
  <si>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</si>
  <si>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</si>
  <si>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</si>
  <si>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</si>
  <si>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</si>
  <si>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</si>
  <si>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</si>
  <si>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</si>
  <si>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</si>
  <si>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</si>
  <si>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</si>
  <si>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</si>
  <si>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</si>
  <si>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</si>
  <si>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</si>
  <si>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</si>
  <si>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</si>
  <si>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</si>
  <si>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</si>
  <si>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</si>
  <si>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</si>
  <si>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</si>
  <si>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</si>
  <si>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</si>
  <si>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</si>
  <si>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</si>
  <si>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</si>
  <si>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</si>
  <si>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</si>
  <si>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</si>
  <si>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</si>
  <si>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</si>
  <si>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</si>
  <si>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</si>
  <si>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</si>
  <si>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</si>
  <si>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</si>
  <si>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</si>
  <si>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</si>
  <si>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</si>
  <si>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</si>
  <si>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</si>
  <si>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</si>
  <si>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</si>
  <si>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</si>
  <si>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</si>
  <si>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</si>
  <si>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</si>
  <si>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</si>
  <si>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</si>
  <si>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</si>
  <si>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</si>
  <si>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</si>
  <si>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</si>
  <si>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</si>
  <si>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</si>
  <si>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</si>
  <si>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</si>
  <si>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</si>
  <si>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</si>
  <si>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</si>
  <si>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</si>
  <si>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</si>
  <si>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</si>
  <si>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</si>
  <si>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</si>
  <si>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</si>
  <si>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</si>
  <si>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</si>
  <si>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</si>
  <si>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</si>
  <si>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</si>
  <si>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</si>
  <si>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</si>
  <si>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</si>
  <si>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</si>
  <si>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</si>
  <si>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</si>
  <si>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</si>
  <si>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</si>
  <si>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</si>
  <si>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</si>
  <si>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</si>
  <si>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</si>
  <si>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</si>
  <si>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</si>
  <si>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</si>
  <si>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</si>
  <si>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</si>
  <si>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</si>
  <si>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</si>
  <si>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</si>
  <si>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</si>
  <si>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</si>
  <si>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</si>
  <si>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</si>
  <si>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</si>
  <si>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</si>
  <si>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</si>
  <si>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</si>
  <si>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</si>
  <si>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</si>
  <si>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</si>
  <si>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</si>
  <si>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</si>
  <si>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</si>
  <si>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</si>
  <si>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</si>
  <si>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</si>
  <si>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</si>
  <si>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</si>
  <si>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</si>
  <si>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</si>
  <si>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</si>
  <si>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</si>
  <si>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</si>
  <si>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</si>
  <si>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</si>
  <si>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</si>
  <si>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</si>
  <si>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</si>
  <si>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</si>
  <si>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</si>
  <si>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</si>
  <si>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</si>
  <si>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</si>
  <si>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</si>
  <si>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</si>
  <si>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</si>
  <si>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</si>
  <si>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</si>
  <si>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</si>
  <si>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</si>
  <si>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</si>
  <si>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</si>
  <si>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</si>
  <si>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</si>
  <si>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</si>
  <si>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</si>
  <si>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</si>
  <si>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</si>
  <si>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</si>
  <si>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</si>
  <si>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</si>
  <si>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</si>
  <si>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</si>
  <si>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</si>
  <si>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</si>
  <si>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</si>
  <si>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</si>
  <si>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</si>
  <si>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</si>
  <si>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</si>
  <si>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</si>
  <si>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</si>
  <si>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</si>
  <si>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</si>
  <si>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</si>
  <si>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</si>
  <si>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</si>
  <si>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</si>
  <si>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</si>
  <si>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</si>
  <si>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</si>
  <si>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</si>
  <si>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</si>
  <si>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</si>
  <si>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</si>
  <si>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</si>
  <si>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</si>
  <si>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</si>
  <si>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</si>
  <si>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</si>
  <si>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</si>
  <si>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</si>
  <si>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</si>
  <si>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</si>
  <si>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</si>
  <si>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</si>
  <si>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</si>
  <si>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</si>
  <si>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</si>
  <si>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</si>
  <si>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</si>
  <si>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</si>
  <si>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</si>
  <si>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</si>
  <si>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</si>
  <si>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</si>
  <si>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</si>
  <si>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</si>
  <si>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</si>
  <si>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</si>
  <si>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</si>
  <si>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</si>
  <si>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</si>
  <si>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</si>
  <si>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</si>
  <si>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</si>
  <si>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</si>
  <si>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</si>
  <si>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</si>
  <si>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</si>
  <si>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</si>
  <si>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</si>
  <si>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</si>
  <si>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</si>
  <si>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</si>
  <si>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</si>
  <si>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</si>
  <si>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</si>
  <si>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</si>
  <si>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</si>
  <si>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</si>
  <si>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</si>
  <si>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</si>
  <si>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</si>
  <si>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</si>
  <si>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</si>
  <si>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</si>
  <si>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</si>
  <si>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</si>
  <si>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</si>
  <si>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</si>
  <si>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</si>
  <si>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</si>
  <si>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</si>
  <si>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</si>
  <si>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</si>
  <si>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</si>
  <si>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</si>
  <si>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</si>
  <si>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</si>
  <si>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</si>
  <si>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</si>
  <si>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</si>
  <si>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</si>
  <si>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</si>
  <si>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</si>
  <si>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</si>
  <si>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</si>
  <si>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</si>
  <si>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</si>
  <si>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</si>
  <si>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</si>
  <si>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</si>
  <si>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</si>
  <si>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</si>
  <si>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</si>
  <si>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</si>
  <si>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</si>
  <si>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</si>
  <si>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</si>
  <si>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</si>
  <si>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</si>
  <si>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</si>
  <si>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</si>
  <si>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</si>
  <si>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</si>
  <si>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</si>
  <si>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</si>
  <si>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</si>
  <si>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</si>
  <si>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</si>
  <si>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</si>
  <si>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</si>
  <si>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</si>
  <si>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</si>
  <si>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</si>
  <si>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</si>
  <si>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</si>
  <si>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</si>
  <si>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</si>
  <si>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</si>
  <si>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</si>
  <si>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</si>
  <si>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</si>
  <si>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</si>
  <si>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</si>
  <si>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</si>
  <si>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</si>
  <si>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</si>
  <si>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</si>
  <si>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</si>
  <si>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</si>
  <si>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</si>
  <si>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</si>
  <si>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</si>
  <si>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</si>
  <si>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</si>
  <si>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</si>
  <si>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</si>
  <si>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</si>
  <si>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</si>
  <si>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</si>
  <si>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</si>
  <si>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</si>
  <si>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</si>
  <si>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</si>
  <si>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</si>
  <si>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</si>
  <si>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</si>
  <si>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</si>
  <si>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</si>
  <si>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</si>
  <si>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</si>
  <si>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</si>
  <si>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</si>
  <si>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</si>
  <si>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</si>
  <si>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</si>
  <si>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</si>
  <si>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</si>
  <si>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</si>
  <si>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</si>
  <si>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</si>
  <si>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</si>
  <si>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</si>
  <si>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</si>
  <si>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</si>
  <si>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</si>
  <si>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</si>
  <si>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</si>
  <si>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</si>
  <si>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</si>
  <si>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</si>
  <si>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</si>
  <si>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</si>
  <si>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</si>
  <si>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</si>
  <si>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</si>
  <si>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</si>
  <si>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</si>
  <si>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</si>
  <si>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</si>
  <si>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</si>
  <si>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</si>
  <si>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</si>
  <si>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</si>
  <si>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</si>
  <si>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</si>
  <si>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</si>
  <si>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</si>
  <si>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</si>
  <si>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</si>
  <si>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</si>
  <si>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</si>
  <si>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</si>
  <si>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mysticPassiveAddDmg1</t>
    <phoneticPr fontId="1" type="noConversion"/>
  </si>
  <si>
    <t>mysticPassiveAddDmg2</t>
    <phoneticPr fontId="1" type="noConversion"/>
  </si>
  <si>
    <t>mysticPassiveAddDmgRate1</t>
    <phoneticPr fontId="1" type="noConversion"/>
  </si>
  <si>
    <t>BUFF_EFFECT_TYPE_ADD_SECONDARY_STAT_DAMAGE_RATE</t>
  </si>
  <si>
    <t>mysticPassiveAddDmgRate2</t>
    <phoneticPr fontId="1" type="noConversion"/>
  </si>
  <si>
    <t>mysticPassiveAddBuff1</t>
    <phoneticPr fontId="1" type="noConversion"/>
  </si>
  <si>
    <t>mysticPassiveAddBuff2</t>
    <phoneticPr fontId="1" type="noConversion"/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</si>
  <si>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</si>
  <si>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</si>
  <si>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</si>
  <si>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</si>
  <si>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</si>
  <si>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mysticPassiveReduceCooldown1</t>
    <phoneticPr fontId="1" type="noConversion"/>
  </si>
  <si>
    <t>mysticPassiveReduceCooldown2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</si>
  <si>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</si>
  <si>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</si>
  <si>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</si>
  <si>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</si>
  <si>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</si>
  <si>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</si>
  <si>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</si>
  <si>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</si>
  <si>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</si>
  <si>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</si>
  <si>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</si>
  <si>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</si>
  <si>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</si>
  <si>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</si>
  <si>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</si>
  <si>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</si>
  <si>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</si>
  <si>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</si>
  <si>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</si>
  <si>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</si>
  <si>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</si>
  <si>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</si>
  <si>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</si>
  <si>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</si>
  <si>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</si>
  <si>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</si>
  <si>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</si>
  <si>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</si>
  <si>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</si>
  <si>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</si>
  <si>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</si>
  <si>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</si>
  <si>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</si>
  <si>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</si>
  <si>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</si>
  <si>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</si>
  <si>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</si>
  <si>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</si>
  <si>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</si>
  <si>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</si>
  <si>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</si>
  <si>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</si>
  <si>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</si>
  <si>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</si>
  <si>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</si>
  <si>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</si>
  <si>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</si>
  <si>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</si>
  <si>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</si>
  <si>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</si>
  <si>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</si>
  <si>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</si>
  <si>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</si>
  <si>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</si>
  <si>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</si>
  <si>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</si>
  <si>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</si>
  <si>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</si>
  <si>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</si>
  <si>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</si>
  <si>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</si>
  <si>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</si>
  <si>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</si>
  <si>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</si>
  <si>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</si>
  <si>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</si>
  <si>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</si>
  <si>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</si>
  <si>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</si>
  <si>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</si>
  <si>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</si>
  <si>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</si>
  <si>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</si>
  <si>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</si>
  <si>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</si>
  <si>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</si>
  <si>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</si>
  <si>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</si>
  <si>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</si>
  <si>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index,level,needExp,type,power,magic,speed\n1,1,100,1,30,15,18\n2,2,150,1,32,16,19\n3,3,250,1,34,17,21\n4,4,400,1,36,18,22\n5,5,600,1,38,19,24\n6,6,850,1,40,20,25\n7,7,1150,1,42,21,27\n8,8,1500,1,44,22,28\n9,9,1900,1,46,23,30\n10,10,2350,1,48,24,31\n11,11,2850,1,50,25,33\n12,12,3400,1,52,26,34\n13,13,4000,1,54,27,36\n14,14,4650,1,56,28,37\n15,15,5350,1,58,29,39\n16,16,6100,1,60,30,40\n17,17,6900,1,62,31,42\n18,18,7750,1,64,32,43\n19,19,8650,1,66,33,45\n20,20,-1,1,68,34,46\n101,1,100,2,15,30,18\n102,2,150,2,16,32,19\n103,3,250,2,17,34,21\n104,4,400,2,18,36,22\n105,5,600,2,19,38,24\n106,6,850,2,20,40,25\n107,7,1150,2,21,42,27\n108,8,1500,2,22,44,28\n109,9,1900,2,23,46,30\n110,10,2350,2,24,48,31\n111,11,2850,2,25,50,33\n112,12,3400,2,26,52,34\n113,13,4000,2,27,54,36\n114,14,4650,2,28,56,37\n115,15,5350,2,29,58,39\n116,16,6100,2,30,60,40\n117,17,6900,2,31,62,42\n118,18,7750,2,32,64,43\n119,19,8650,2,33,66,45\n120,20,-1,2,34,68,46\n201,1,100,3,18,18,18\n202,2,150,3,19,19,19\n203,3,250,3,21,21,21\n204,4,400,3,22,22,22\n205,5,600,3,24,24,24\n206,6,850,3,25,25,25\n207,7,1150,3,27,27,27\n208,8,1500,3,28,28,28\n209,9,1900,3,30,30,30\n210,10,2350,3,31,31,31\n211,11,2850,3,33,33,33\n212,12,3400,3,34,34,34\n213,13,4000,3,36,36,36\n214,14,4650,3,37,37,37\n215,15,5350,3,39,39,39\n216,16,6100,3,40,40,40\n217,17,6900,3,42,42,42\n218,18,7750,3,43,43,43\n219,19,8650,3,45,45,45\n220,20,-1,3,46,46,46\n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</si>
  <si>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</si>
  <si>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</si>
  <si>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</si>
  <si>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</si>
  <si>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</si>
  <si>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Passive1,1,12,2,5100,5102,0,0,0,0,0,0,0,0,0,0,0,0,0,0,0,0,0,0,0,0,86,,0,0,0,0,0,FreezePassive1,0,../images/tempSkill2.png\n5102,FreezePassive2,2,12,2,5100,5103,0,0,0,0,0,0,0,0,0,0,0,0,0,0,0,0,0,0,0,0,87,,0,0,0,0,0,FreezePassive2,0,../images/tempSkill2.png\n5103,FreezePassive3,3,12,2,5100,5104,0,0,0,0,0,0,0,0,0,0,0,0,0,0,0,0,0,0,0,0,88,,0,0,0,0,0,FreezePassive3,0,../images/tempSkill2.png\n5104,FreezePassive4,4,12,2,5100,5105,0,0,0,0,0,0,0,0,0,0,0,0,0,0,0,0,0,0,0,0,89,,0,0,0,0,0,FreezePassive4,0,../images/tempSkill2.png\n5105,Freeze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</si>
  <si>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</si>
  <si>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</si>
  <si>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</si>
  <si>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</si>
  <si>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</si>
  <si>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</si>
  <si>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</si>
  <si>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</si>
  <si>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</si>
  <si>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</si>
  <si>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</si>
  <si>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</si>
  <si>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</si>
  <si>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</si>
  <si>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</si>
  <si>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</si>
  <si>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</si>
  <si>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</si>
  <si>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</si>
  <si>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</si>
  <si>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index,type,id,posX,posY,radius,chestGradeMin,chestGradeMax\n1,1,OTT1,200,200,100,,\n2,1,OTT2,500,500,100,,\n3,3,OCG1,350,50,50,2,3\n4,3,OCG2,50,350,50,1,2\n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</si>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</sst>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D14" sqref="D14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737</v>
      </c>
      <c r="F2" s="2" t="s">
        <v>738</v>
      </c>
      <c r="G2" s="2" t="s">
        <v>739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77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T12" activePane="bottomRight" state="frozen"/>
      <selection pane="topRight" activeCell="D1" sqref="D1"/>
      <selection pane="bottomLeft" activeCell="A3" sqref="A3"/>
      <selection pane="bottomRight" activeCell="V24" sqref="V24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736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780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698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674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745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674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675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662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675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676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663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676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677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664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677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678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665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678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774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666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679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775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667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680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776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668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681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777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669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682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778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670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683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699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704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699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700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705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700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701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706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701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702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707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702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703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708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703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10"/>
  <sheetViews>
    <sheetView tabSelected="1" zoomScale="85" zoomScaleNormal="85" workbookViewId="0">
      <selection activeCell="C12" sqref="C12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661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662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663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664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665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666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667</v>
      </c>
      <c r="D89" s="3">
        <v>1</v>
      </c>
      <c r="E89" s="1" t="s">
        <v>644</v>
      </c>
      <c r="F89" s="1" t="s">
        <v>693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668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671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669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671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670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671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704</v>
      </c>
      <c r="D93" s="3">
        <v>1</v>
      </c>
      <c r="E93" s="1" t="s">
        <v>647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705</v>
      </c>
      <c r="D94" s="3">
        <v>1</v>
      </c>
      <c r="E94" s="1" t="s">
        <v>647</v>
      </c>
      <c r="F94" s="1" t="s">
        <v>652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706</v>
      </c>
      <c r="D95" s="3">
        <v>1</v>
      </c>
      <c r="E95" s="1" t="s">
        <v>648</v>
      </c>
      <c r="F95" s="1" t="s">
        <v>652</v>
      </c>
      <c r="G95" s="1" t="s">
        <v>649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707</v>
      </c>
      <c r="D96" s="3">
        <v>1</v>
      </c>
      <c r="E96" s="1" t="s">
        <v>648</v>
      </c>
      <c r="F96" s="1" t="s">
        <v>653</v>
      </c>
      <c r="G96" s="1" t="s">
        <v>649</v>
      </c>
      <c r="H96" s="1" t="s">
        <v>659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708</v>
      </c>
      <c r="D97" s="3">
        <v>1</v>
      </c>
      <c r="E97" s="1" t="s">
        <v>648</v>
      </c>
      <c r="F97" s="1" t="s">
        <v>653</v>
      </c>
      <c r="G97" s="1" t="s">
        <v>651</v>
      </c>
      <c r="H97" s="1" t="s">
        <v>660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709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710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711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712</v>
      </c>
      <c r="D101" s="3">
        <v>0</v>
      </c>
      <c r="E101" s="1" t="s">
        <v>672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713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714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715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716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717</v>
      </c>
      <c r="D106" s="3">
        <v>0</v>
      </c>
      <c r="E106" s="1" t="s">
        <v>673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718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694</v>
      </c>
      <c r="D108" s="3">
        <v>0</v>
      </c>
      <c r="E108" s="1" t="s">
        <v>694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695</v>
      </c>
      <c r="D109" s="3">
        <v>0</v>
      </c>
      <c r="E109" s="1" t="s">
        <v>695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E100" sqref="E100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769</v>
      </c>
      <c r="F2" s="2" t="s">
        <v>15</v>
      </c>
      <c r="G2" s="2" t="s">
        <v>298</v>
      </c>
      <c r="H2" s="2" t="s">
        <v>687</v>
      </c>
      <c r="I2" s="2" t="s">
        <v>607</v>
      </c>
      <c r="J2" s="2" t="s">
        <v>630</v>
      </c>
      <c r="K2" s="2" t="s">
        <v>697</v>
      </c>
      <c r="L2" s="2" t="s">
        <v>654</v>
      </c>
      <c r="M2" s="2" t="s">
        <v>655</v>
      </c>
      <c r="N2" s="2" t="s">
        <v>656</v>
      </c>
      <c r="O2" s="2" t="s">
        <v>657</v>
      </c>
      <c r="P2" s="2" t="s">
        <v>658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768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691</v>
      </c>
      <c r="E104" s="1" t="s">
        <v>688</v>
      </c>
      <c r="F104">
        <v>0</v>
      </c>
      <c r="G104" s="1">
        <v>0</v>
      </c>
      <c r="H104" s="1" t="s">
        <v>631</v>
      </c>
      <c r="I104" s="1" t="s">
        <v>626</v>
      </c>
      <c r="L104" t="s">
        <v>694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691</v>
      </c>
      <c r="E105" s="1" t="s">
        <v>688</v>
      </c>
      <c r="F105">
        <v>0</v>
      </c>
      <c r="G105" s="1">
        <v>0</v>
      </c>
      <c r="H105" s="1" t="s">
        <v>631</v>
      </c>
      <c r="I105" s="1" t="s">
        <v>626</v>
      </c>
      <c r="L105" t="s">
        <v>695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719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720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721</v>
      </c>
      <c r="C114" s="1">
        <v>0</v>
      </c>
      <c r="D114" s="1" t="s">
        <v>107</v>
      </c>
      <c r="E114" s="1" t="s">
        <v>650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722</v>
      </c>
      <c r="C115" s="1">
        <v>0</v>
      </c>
      <c r="D115" s="1" t="s">
        <v>107</v>
      </c>
      <c r="E115" s="1" t="s">
        <v>650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723</v>
      </c>
      <c r="C116" s="1">
        <v>0</v>
      </c>
      <c r="D116" s="1" t="s">
        <v>691</v>
      </c>
      <c r="E116" s="1" t="s">
        <v>688</v>
      </c>
      <c r="F116">
        <v>0</v>
      </c>
      <c r="G116" s="1">
        <v>0</v>
      </c>
      <c r="H116" s="1" t="s">
        <v>631</v>
      </c>
      <c r="L116" s="1" t="s">
        <v>709</v>
      </c>
      <c r="M116" s="1" t="s">
        <v>710</v>
      </c>
      <c r="N116" s="1" t="s">
        <v>711</v>
      </c>
      <c r="O116" s="1" t="s">
        <v>712</v>
      </c>
      <c r="P116" s="1" t="s">
        <v>713</v>
      </c>
      <c r="Q116" s="1"/>
    </row>
    <row r="117" spans="1:17" x14ac:dyDescent="0.3">
      <c r="A117" s="1">
        <v>123</v>
      </c>
      <c r="B117" s="1" t="s">
        <v>724</v>
      </c>
      <c r="C117" s="1">
        <v>0</v>
      </c>
      <c r="D117" s="1" t="s">
        <v>691</v>
      </c>
      <c r="E117" s="1" t="s">
        <v>688</v>
      </c>
      <c r="F117" s="1">
        <v>0</v>
      </c>
      <c r="G117" s="1">
        <v>0</v>
      </c>
      <c r="H117" s="1" t="s">
        <v>631</v>
      </c>
      <c r="L117" s="1" t="s">
        <v>714</v>
      </c>
      <c r="M117" s="1" t="s">
        <v>715</v>
      </c>
      <c r="N117" s="1" t="s">
        <v>716</v>
      </c>
      <c r="O117" s="1" t="s">
        <v>717</v>
      </c>
      <c r="P117" s="1" t="s">
        <v>718</v>
      </c>
      <c r="Q117" s="1"/>
    </row>
    <row r="118" spans="1:17" x14ac:dyDescent="0.3">
      <c r="A118" s="1">
        <v>124</v>
      </c>
      <c r="B118" s="1" t="s">
        <v>725</v>
      </c>
      <c r="C118" s="1">
        <v>0</v>
      </c>
      <c r="D118" s="1" t="s">
        <v>689</v>
      </c>
      <c r="E118" s="1" t="s">
        <v>742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726</v>
      </c>
      <c r="C119" s="1">
        <v>0</v>
      </c>
      <c r="D119" s="1" t="s">
        <v>107</v>
      </c>
      <c r="E119" s="1" t="s">
        <v>742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694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695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C5"/>
  <sheetViews>
    <sheetView workbookViewId="0">
      <selection activeCell="E10" sqref="E10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11" width="15.375" style="1" customWidth="1"/>
    <col min="12" max="12" width="13.875" bestFit="1" customWidth="1"/>
    <col min="13" max="13" width="14.12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0.625" bestFit="1" customWidth="1"/>
    <col min="31" max="31" width="14.375" bestFit="1" customWidth="1"/>
    <col min="32" max="32" width="10.625" bestFit="1" customWidth="1"/>
    <col min="33" max="33" width="14.37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  <col min="52" max="52" width="11.75" bestFit="1" customWidth="1"/>
    <col min="53" max="53" width="15.5" bestFit="1" customWidth="1"/>
    <col min="54" max="54" width="11.75" bestFit="1" customWidth="1"/>
    <col min="55" max="55" width="15.5" bestFit="1" customWidth="1"/>
  </cols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 t="s">
        <v>20</v>
      </c>
      <c r="B2" s="2" t="s">
        <v>21</v>
      </c>
      <c r="C2" s="2" t="s">
        <v>64</v>
      </c>
      <c r="D2" s="2" t="s">
        <v>729</v>
      </c>
      <c r="E2" s="2" t="s">
        <v>730</v>
      </c>
      <c r="F2" s="2" t="s">
        <v>727</v>
      </c>
      <c r="G2" s="2" t="s">
        <v>728</v>
      </c>
      <c r="H2" s="2" t="s">
        <v>731</v>
      </c>
      <c r="I2" s="2" t="s">
        <v>732</v>
      </c>
      <c r="J2" s="2" t="s">
        <v>733</v>
      </c>
      <c r="K2" s="2" t="s">
        <v>734</v>
      </c>
      <c r="L2" s="2" t="s">
        <v>22</v>
      </c>
      <c r="M2" s="2" t="s">
        <v>23</v>
      </c>
      <c r="N2" s="2" t="s">
        <v>24</v>
      </c>
      <c r="O2" s="2" t="s">
        <v>29</v>
      </c>
      <c r="P2" s="2" t="s">
        <v>25</v>
      </c>
      <c r="Q2" s="2" t="s">
        <v>30</v>
      </c>
      <c r="R2" s="2" t="s">
        <v>26</v>
      </c>
      <c r="S2" s="2" t="s">
        <v>31</v>
      </c>
      <c r="T2" s="2" t="s">
        <v>27</v>
      </c>
      <c r="U2" s="2" t="s">
        <v>32</v>
      </c>
      <c r="V2" s="2" t="s">
        <v>28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36</v>
      </c>
      <c r="AC2" s="2" t="s">
        <v>37</v>
      </c>
      <c r="AD2" s="2" t="s">
        <v>38</v>
      </c>
      <c r="AE2" s="2" t="s">
        <v>39</v>
      </c>
      <c r="AF2" s="2" t="s">
        <v>40</v>
      </c>
      <c r="AG2" s="2" t="s">
        <v>41</v>
      </c>
      <c r="AH2" s="2" t="s">
        <v>42</v>
      </c>
      <c r="AI2" s="2" t="s">
        <v>43</v>
      </c>
      <c r="AJ2" s="2" t="s">
        <v>44</v>
      </c>
      <c r="AK2" s="2" t="s">
        <v>45</v>
      </c>
      <c r="AL2" s="2" t="s">
        <v>46</v>
      </c>
      <c r="AM2" s="2" t="s">
        <v>47</v>
      </c>
      <c r="AN2" s="2" t="s">
        <v>48</v>
      </c>
      <c r="AO2" s="2" t="s">
        <v>49</v>
      </c>
      <c r="AP2" s="2" t="s">
        <v>50</v>
      </c>
      <c r="AQ2" s="2" t="s">
        <v>51</v>
      </c>
      <c r="AR2" s="2" t="s">
        <v>52</v>
      </c>
      <c r="AS2" s="2" t="s">
        <v>53</v>
      </c>
      <c r="AT2" s="2" t="s">
        <v>54</v>
      </c>
      <c r="AU2" s="2" t="s">
        <v>55</v>
      </c>
      <c r="AV2" s="2" t="s">
        <v>56</v>
      </c>
      <c r="AW2" s="2" t="s">
        <v>57</v>
      </c>
      <c r="AX2" s="2" t="s">
        <v>58</v>
      </c>
      <c r="AY2" s="2" t="s">
        <v>59</v>
      </c>
      <c r="AZ2" s="2" t="s">
        <v>60</v>
      </c>
      <c r="BA2" s="2" t="s">
        <v>61</v>
      </c>
      <c r="BB2" s="2" t="s">
        <v>62</v>
      </c>
      <c r="BC2" s="2" t="s">
        <v>63</v>
      </c>
    </row>
    <row r="3" spans="1:55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 s="1">
        <v>0</v>
      </c>
      <c r="I3" s="1">
        <v>0</v>
      </c>
      <c r="J3" s="1">
        <v>0</v>
      </c>
      <c r="K3" s="1">
        <v>0</v>
      </c>
      <c r="N3" s="1"/>
      <c r="P3" s="1"/>
    </row>
    <row r="4" spans="1:55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 s="1">
        <v>0</v>
      </c>
      <c r="I4" s="1">
        <v>1</v>
      </c>
      <c r="J4" s="1">
        <v>1</v>
      </c>
      <c r="K4" s="1">
        <v>1</v>
      </c>
      <c r="O4" s="1"/>
      <c r="Q4" s="1"/>
      <c r="S4" s="1"/>
      <c r="U4" s="1"/>
      <c r="W4" s="1"/>
    </row>
    <row r="5" spans="1:55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 s="1">
        <v>1</v>
      </c>
      <c r="I5" s="1">
        <v>2</v>
      </c>
      <c r="J5" s="1">
        <v>1</v>
      </c>
      <c r="K5" s="1">
        <v>1</v>
      </c>
      <c r="N5" s="1"/>
      <c r="O5" s="1"/>
      <c r="Q5" s="1"/>
      <c r="S5" s="1"/>
      <c r="U5" s="1"/>
      <c r="W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39997558519241921"/>
  </sheetPr>
  <dimension ref="A1:H17"/>
  <sheetViews>
    <sheetView workbookViewId="0">
      <selection activeCell="H15" sqref="H15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8" s="1" customFormat="1" x14ac:dyDescent="0.3">
      <c r="A1" s="4"/>
      <c r="B1" s="4" t="s">
        <v>760</v>
      </c>
      <c r="C1" s="4"/>
      <c r="D1" s="4"/>
      <c r="E1" s="4"/>
      <c r="F1" s="4"/>
      <c r="G1" s="4"/>
      <c r="H1" s="4"/>
    </row>
    <row r="2" spans="1:8" x14ac:dyDescent="0.3">
      <c r="A2" s="4" t="s">
        <v>751</v>
      </c>
      <c r="B2" s="4" t="s">
        <v>753</v>
      </c>
      <c r="C2" s="4" t="s">
        <v>752</v>
      </c>
      <c r="D2" s="4" t="s">
        <v>747</v>
      </c>
      <c r="E2" s="4" t="s">
        <v>748</v>
      </c>
      <c r="F2" s="4" t="s">
        <v>754</v>
      </c>
      <c r="G2" s="4" t="s">
        <v>765</v>
      </c>
      <c r="H2" s="4" t="s">
        <v>766</v>
      </c>
    </row>
    <row r="3" spans="1:8" x14ac:dyDescent="0.3">
      <c r="A3">
        <v>1</v>
      </c>
      <c r="B3" t="s">
        <v>755</v>
      </c>
      <c r="C3" t="s">
        <v>749</v>
      </c>
      <c r="D3">
        <v>200</v>
      </c>
      <c r="E3">
        <v>200</v>
      </c>
      <c r="F3">
        <v>100</v>
      </c>
    </row>
    <row r="4" spans="1:8" x14ac:dyDescent="0.3">
      <c r="A4">
        <v>2</v>
      </c>
      <c r="B4" s="1" t="s">
        <v>755</v>
      </c>
      <c r="C4" s="1" t="s">
        <v>750</v>
      </c>
      <c r="D4">
        <v>500</v>
      </c>
      <c r="E4">
        <v>500</v>
      </c>
      <c r="F4">
        <v>100</v>
      </c>
    </row>
    <row r="5" spans="1:8" x14ac:dyDescent="0.3">
      <c r="A5">
        <v>3</v>
      </c>
      <c r="B5" s="1" t="s">
        <v>756</v>
      </c>
      <c r="C5" t="s">
        <v>757</v>
      </c>
      <c r="D5">
        <v>350</v>
      </c>
      <c r="E5">
        <v>50</v>
      </c>
      <c r="F5">
        <v>50</v>
      </c>
      <c r="G5">
        <v>2</v>
      </c>
      <c r="H5">
        <v>3</v>
      </c>
    </row>
    <row r="6" spans="1:8" x14ac:dyDescent="0.3">
      <c r="A6">
        <v>4</v>
      </c>
      <c r="B6" s="1" t="s">
        <v>756</v>
      </c>
      <c r="C6" t="s">
        <v>758</v>
      </c>
      <c r="D6">
        <v>50</v>
      </c>
      <c r="E6">
        <v>350</v>
      </c>
      <c r="F6">
        <v>50</v>
      </c>
      <c r="G6">
        <v>1</v>
      </c>
      <c r="H6">
        <v>2</v>
      </c>
    </row>
    <row r="13" spans="1:8" x14ac:dyDescent="0.3">
      <c r="D13">
        <f ca="1">ROUND(RAND() * 6400, 0)</f>
        <v>4313</v>
      </c>
      <c r="E13" s="1">
        <f ca="1">ROUND(RAND() * 6400, 0)</f>
        <v>1068</v>
      </c>
    </row>
    <row r="14" spans="1:8" x14ac:dyDescent="0.3">
      <c r="D14" s="1">
        <f t="shared" ref="D14:E17" ca="1" si="0">ROUND(RAND() * 6400, 0)</f>
        <v>4772</v>
      </c>
      <c r="E14" s="1">
        <f t="shared" ca="1" si="0"/>
        <v>4206</v>
      </c>
    </row>
    <row r="15" spans="1:8" x14ac:dyDescent="0.3">
      <c r="D15" s="1">
        <f t="shared" ca="1" si="0"/>
        <v>2829</v>
      </c>
      <c r="E15" s="1">
        <f t="shared" ca="1" si="0"/>
        <v>2578</v>
      </c>
    </row>
    <row r="16" spans="1:8" x14ac:dyDescent="0.3">
      <c r="D16" s="1">
        <f t="shared" ca="1" si="0"/>
        <v>6001</v>
      </c>
      <c r="E16" s="1">
        <f t="shared" ca="1" si="0"/>
        <v>3986</v>
      </c>
    </row>
    <row r="17" spans="4:5" x14ac:dyDescent="0.3">
      <c r="D17" s="1">
        <f t="shared" ca="1" si="0"/>
        <v>2547</v>
      </c>
      <c r="E17" s="1">
        <f t="shared" ca="1" si="0"/>
        <v>91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AE1" workbookViewId="0">
      <selection sqref="A1:AL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772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741</v>
      </c>
      <c r="AD2" s="2" t="s">
        <v>773</v>
      </c>
      <c r="AE2" s="2" t="s">
        <v>770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771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674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774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699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P47"/>
  <sheetViews>
    <sheetView topLeftCell="J1" workbookViewId="0">
      <selection activeCell="A2" sqref="A2:A4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</cols>
  <sheetData>
    <row r="1" spans="1:16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759</v>
      </c>
      <c r="P1" s="5"/>
    </row>
    <row r="2" spans="1:16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684</v>
      </c>
      <c r="L2">
        <v>1</v>
      </c>
      <c r="M2" s="1" t="s">
        <v>618</v>
      </c>
      <c r="N2">
        <v>1</v>
      </c>
      <c r="O2" t="s">
        <v>761</v>
      </c>
      <c r="P2">
        <v>1</v>
      </c>
    </row>
    <row r="3" spans="1:16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685</v>
      </c>
      <c r="L3">
        <v>2</v>
      </c>
      <c r="M3" s="1" t="s">
        <v>629</v>
      </c>
      <c r="N3" s="1">
        <v>2</v>
      </c>
      <c r="O3" t="s">
        <v>762</v>
      </c>
      <c r="P3">
        <v>2</v>
      </c>
    </row>
    <row r="4" spans="1:16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686</v>
      </c>
      <c r="L4">
        <v>3</v>
      </c>
      <c r="M4" s="1" t="s">
        <v>620</v>
      </c>
      <c r="N4" s="1">
        <v>3</v>
      </c>
      <c r="O4" t="s">
        <v>763</v>
      </c>
      <c r="P4">
        <v>3</v>
      </c>
    </row>
    <row r="5" spans="1:16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6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6" x14ac:dyDescent="0.3">
      <c r="B7" s="1"/>
      <c r="E7" s="1" t="s">
        <v>462</v>
      </c>
      <c r="F7" s="1">
        <v>6</v>
      </c>
      <c r="G7" s="1" t="s">
        <v>690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</row>
    <row r="8" spans="1:16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6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6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6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6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6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6" x14ac:dyDescent="0.3">
      <c r="I14" s="1" t="s">
        <v>137</v>
      </c>
      <c r="J14" s="1">
        <v>10</v>
      </c>
    </row>
    <row r="15" spans="1:16" x14ac:dyDescent="0.3">
      <c r="I15" s="1" t="s">
        <v>118</v>
      </c>
      <c r="J15" s="1">
        <v>11</v>
      </c>
    </row>
    <row r="16" spans="1:16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743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696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692</v>
      </c>
      <c r="J47">
        <v>1</v>
      </c>
    </row>
  </sheetData>
  <mergeCells count="8">
    <mergeCell ref="O1:P1"/>
    <mergeCell ref="K1:L1"/>
    <mergeCell ref="M1:N1"/>
    <mergeCell ref="E1:F1"/>
    <mergeCell ref="A1:B1"/>
    <mergeCell ref="C1:D1"/>
    <mergeCell ref="G1:H1"/>
    <mergeCell ref="I1:J1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7"/>
  <sheetViews>
    <sheetView topLeftCell="A7" workbookViewId="0">
      <selection activeCell="G13" sqref="G13"/>
    </sheetView>
  </sheetViews>
  <sheetFormatPr defaultRowHeight="16.5" x14ac:dyDescent="0.3"/>
  <sheetData>
    <row r="1" spans="1:2" x14ac:dyDescent="0.3">
      <c r="A1" s="1" t="s">
        <v>126</v>
      </c>
      <c r="B1" s="1" t="s">
        <v>740</v>
      </c>
    </row>
    <row r="2" spans="1:2" x14ac:dyDescent="0.3">
      <c r="A2" s="1" t="s">
        <v>69</v>
      </c>
      <c r="B2" s="1" t="s">
        <v>746</v>
      </c>
    </row>
    <row r="3" spans="1:2" x14ac:dyDescent="0.3">
      <c r="A3" t="s">
        <v>70</v>
      </c>
      <c r="B3" s="1" t="s">
        <v>735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779</v>
      </c>
    </row>
    <row r="6" spans="1:2" x14ac:dyDescent="0.3">
      <c r="A6" t="s">
        <v>466</v>
      </c>
      <c r="B6" t="s">
        <v>744</v>
      </c>
    </row>
    <row r="7" spans="1:2" x14ac:dyDescent="0.3">
      <c r="A7" t="s">
        <v>764</v>
      </c>
      <c r="B7" t="s">
        <v>767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userStat</vt:lpstr>
      <vt:lpstr>skill</vt:lpstr>
      <vt:lpstr>buffGroup</vt:lpstr>
      <vt:lpstr>buff</vt:lpstr>
      <vt:lpstr>chest</vt:lpstr>
      <vt:lpstr>obstacles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2017-09-24T21:28:58Z</dcterms:modified>
</cp:coreProperties>
</file>